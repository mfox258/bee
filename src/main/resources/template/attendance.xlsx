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080"/>
  </bookViews>
  <sheets>
    <sheet name="考勤表" sheetId="1" r:id="rId1"/>
  </sheets>
  <externalReferences>
    <externalReference r:id="rId3"/>
  </externalReferences>
  <definedNames>
    <definedName name="_xlnm.Print_Titles" localSheetId="0">考勤表!$1:$7</definedName>
    <definedName name="_xlnm.Print_Area" localSheetId="0">考勤表!$A$1:$BB$33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=TEXT(TODAY(),"yyyy年")&amp;"职工考勤表"</t>
        </r>
      </text>
    </comment>
  </commentList>
</comments>
</file>

<file path=xl/sharedStrings.xml><?xml version="1.0" encoding="utf-8"?>
<sst xmlns="http://schemas.openxmlformats.org/spreadsheetml/2006/main" count="52" uniqueCount="52">
  <si>
    <t>备注：</t>
  </si>
  <si>
    <t>科部：</t>
  </si>
  <si>
    <t>外科</t>
  </si>
  <si>
    <t>统计日期：</t>
  </si>
  <si>
    <t>年</t>
  </si>
  <si>
    <t>月</t>
  </si>
  <si>
    <t>填报日期：</t>
  </si>
  <si>
    <t>1、科室所有成员均需考勤，包括产假、进修等，如有转科或离职等原因请注明。
2、如有增减人员，请在花名册表中修改后选择相应科室即可，勿在纸质件上涂改；
3、本表统计结果将作为各类考核依据，请各科打印签字后于每月5号前上报。</t>
  </si>
  <si>
    <t>本表选择了科室和“统计日期”后方月份(AG2)单元格后，在出勤情况中选择录入对应标识即可自动统计，然后打印签字上交。“出勤情况”下方的日期与星期数即随之发生正确变化，请勿修改黄色底纹的单元格；</t>
  </si>
  <si>
    <t>序号</t>
  </si>
  <si>
    <t xml:space="preserve">   考勤
   日期
姓名</t>
  </si>
  <si>
    <t xml:space="preserve">出   勤   情   况 </t>
  </si>
  <si>
    <t>出
勤</t>
  </si>
  <si>
    <t>起班</t>
  </si>
  <si>
    <t>事
假</t>
  </si>
  <si>
    <t>病
假</t>
  </si>
  <si>
    <t>产假</t>
  </si>
  <si>
    <t>婚假</t>
  </si>
  <si>
    <t>丧假</t>
  </si>
  <si>
    <t>护理假</t>
  </si>
  <si>
    <t>探亲假</t>
  </si>
  <si>
    <t>休息</t>
  </si>
  <si>
    <t>年
休</t>
  </si>
  <si>
    <t>迟
到</t>
  </si>
  <si>
    <t>早
退</t>
  </si>
  <si>
    <t>旷
工</t>
  </si>
  <si>
    <t>学习</t>
  </si>
  <si>
    <t>脱岗</t>
  </si>
  <si>
    <t>工伤</t>
  </si>
  <si>
    <t>会议</t>
  </si>
  <si>
    <t>进修</t>
  </si>
  <si>
    <t>应休</t>
  </si>
  <si>
    <t>余假</t>
  </si>
  <si>
    <t>/</t>
  </si>
  <si>
    <t>起</t>
  </si>
  <si>
    <t>事</t>
  </si>
  <si>
    <t>病</t>
  </si>
  <si>
    <t>T</t>
  </si>
  <si>
    <t>婚</t>
  </si>
  <si>
    <t>丧</t>
  </si>
  <si>
    <t>□</t>
  </si>
  <si>
    <t>★</t>
  </si>
  <si>
    <t>休</t>
  </si>
  <si>
    <t>年休</t>
  </si>
  <si>
    <t>分钟</t>
  </si>
  <si>
    <t>min</t>
  </si>
  <si>
    <t>×</t>
  </si>
  <si>
    <t>学</t>
  </si>
  <si>
    <t>◆</t>
  </si>
  <si>
    <t>△</t>
  </si>
  <si>
    <t>会</t>
  </si>
  <si>
    <t>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</si>
</sst>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"/>
  </numFmts>
  <fonts count="30">
    <font>
      <sz val="12"/>
      <name val="宋体"/>
      <charset val="134"/>
    </font>
    <font>
      <b/>
      <sz val="20"/>
      <name val="新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</cellStyleXfs>
  <cellXfs count="42">
    <xf numFmtId="0" fontId="0" fillId="0" borderId="0" xfId="0"/>
    <xf numFmtId="0" fontId="0" fillId="0" borderId="0" xfId="50" applyFont="1" applyProtection="1">
      <alignment vertical="center"/>
      <protection hidden="1"/>
    </xf>
    <xf numFmtId="0" fontId="0" fillId="0" borderId="0" xfId="50" applyFont="1" applyAlignment="1" applyProtection="1">
      <alignment horizontal="center" vertical="center"/>
      <protection hidden="1"/>
    </xf>
    <xf numFmtId="0" fontId="0" fillId="0" borderId="0" xfId="50" applyFont="1" applyProtection="1">
      <alignment vertical="center"/>
      <protection locked="0"/>
    </xf>
    <xf numFmtId="0" fontId="1" fillId="0" borderId="0" xfId="50" applyFont="1" applyAlignment="1" applyProtection="1">
      <alignment horizontal="centerContinuous" vertical="center"/>
      <protection hidden="1"/>
    </xf>
    <xf numFmtId="0" fontId="2" fillId="0" borderId="0" xfId="50" applyFont="1" applyAlignment="1" applyProtection="1">
      <alignment horizontal="center" vertical="center"/>
      <protection hidden="1"/>
    </xf>
    <xf numFmtId="0" fontId="2" fillId="0" borderId="0" xfId="50" applyFont="1" applyProtection="1">
      <alignment vertical="center"/>
      <protection hidden="1"/>
    </xf>
    <xf numFmtId="0" fontId="3" fillId="0" borderId="0" xfId="50" applyFont="1" applyBorder="1" applyAlignment="1" applyProtection="1">
      <alignment horizontal="left" vertical="center" wrapText="1"/>
      <protection hidden="1"/>
    </xf>
    <xf numFmtId="0" fontId="3" fillId="0" borderId="1" xfId="50" applyFont="1" applyBorder="1" applyAlignment="1" applyProtection="1">
      <alignment horizontal="left" vertical="center" wrapText="1"/>
      <protection hidden="1"/>
    </xf>
    <xf numFmtId="0" fontId="3" fillId="0" borderId="2" xfId="50" applyFont="1" applyBorder="1" applyAlignment="1" applyProtection="1">
      <alignment horizontal="center" vertical="center" wrapText="1"/>
      <protection hidden="1"/>
    </xf>
    <xf numFmtId="0" fontId="3" fillId="0" borderId="3" xfId="50" applyFont="1" applyBorder="1" applyAlignment="1" applyProtection="1">
      <alignment horizontal="left" wrapText="1"/>
      <protection hidden="1"/>
    </xf>
    <xf numFmtId="0" fontId="2" fillId="0" borderId="2" xfId="50" applyFont="1" applyBorder="1" applyAlignment="1" applyProtection="1">
      <alignment horizontal="center" vertical="center"/>
      <protection hidden="1"/>
    </xf>
    <xf numFmtId="0" fontId="3" fillId="0" borderId="4" xfId="50" applyFont="1" applyBorder="1" applyAlignment="1" applyProtection="1">
      <alignment horizontal="left"/>
      <protection hidden="1"/>
    </xf>
    <xf numFmtId="176" fontId="4" fillId="0" borderId="2" xfId="50" applyNumberFormat="1" applyFont="1" applyFill="1" applyBorder="1" applyAlignment="1" applyProtection="1">
      <alignment horizontal="center" vertical="center"/>
      <protection hidden="1"/>
    </xf>
    <xf numFmtId="0" fontId="4" fillId="0" borderId="2" xfId="50" applyFont="1" applyFill="1" applyBorder="1" applyAlignment="1" applyProtection="1">
      <alignment horizontal="center" vertical="center"/>
      <protection hidden="1"/>
    </xf>
    <xf numFmtId="0" fontId="3" fillId="0" borderId="5" xfId="50" applyFont="1" applyBorder="1" applyAlignment="1" applyProtection="1">
      <alignment horizontal="center" vertical="center"/>
      <protection hidden="1"/>
    </xf>
    <xf numFmtId="0" fontId="4" fillId="2" borderId="6" xfId="49" applyFont="1" applyFill="1" applyBorder="1" applyAlignment="1" applyProtection="1">
      <alignment horizontal="center" vertical="center"/>
      <protection hidden="1"/>
    </xf>
    <xf numFmtId="0" fontId="5" fillId="0" borderId="2" xfId="50" applyFont="1" applyBorder="1" applyAlignment="1" applyProtection="1">
      <alignment horizontal="center" vertical="center"/>
      <protection locked="0"/>
    </xf>
    <xf numFmtId="0" fontId="3" fillId="0" borderId="7" xfId="50" applyFont="1" applyBorder="1" applyAlignment="1" applyProtection="1">
      <alignment horizontal="center" vertical="center"/>
      <protection hidden="1"/>
    </xf>
    <xf numFmtId="0" fontId="4" fillId="2" borderId="8" xfId="49" applyFont="1" applyFill="1" applyBorder="1" applyAlignment="1" applyProtection="1">
      <alignment horizontal="center" vertical="center"/>
      <protection hidden="1"/>
    </xf>
    <xf numFmtId="0" fontId="3" fillId="0" borderId="2" xfId="50" applyFont="1" applyBorder="1" applyAlignment="1" applyProtection="1">
      <alignment horizontal="center" vertical="center"/>
      <protection hidden="1"/>
    </xf>
    <xf numFmtId="0" fontId="6" fillId="0" borderId="9" xfId="50" applyFont="1" applyBorder="1" applyAlignment="1" applyProtection="1">
      <alignment horizontal="left" vertical="center"/>
      <protection locked="0"/>
    </xf>
    <xf numFmtId="0" fontId="6" fillId="0" borderId="7" xfId="50" applyFont="1" applyBorder="1" applyAlignment="1" applyProtection="1">
      <alignment horizontal="left" vertical="center"/>
      <protection locked="0"/>
    </xf>
    <xf numFmtId="0" fontId="6" fillId="0" borderId="10" xfId="50" applyFont="1" applyBorder="1" applyAlignment="1" applyProtection="1">
      <alignment horizontal="left" vertical="center"/>
      <protection locked="0"/>
    </xf>
    <xf numFmtId="0" fontId="2" fillId="0" borderId="0" xfId="50" applyFont="1" applyBorder="1" applyAlignment="1" applyProtection="1">
      <alignment vertical="center"/>
      <protection hidden="1"/>
    </xf>
    <xf numFmtId="0" fontId="2" fillId="0" borderId="0" xfId="50" applyFont="1" applyBorder="1" applyProtection="1">
      <alignment vertical="center"/>
      <protection hidden="1"/>
    </xf>
    <xf numFmtId="0" fontId="0" fillId="0" borderId="1" xfId="50" applyNumberFormat="1" applyFont="1" applyFill="1" applyBorder="1" applyAlignment="1" applyProtection="1">
      <alignment horizontal="center" vertical="center"/>
      <protection locked="0"/>
    </xf>
    <xf numFmtId="14" fontId="0" fillId="0" borderId="0" xfId="50" applyNumberFormat="1" applyFont="1" applyAlignment="1" applyProtection="1">
      <alignment vertical="center"/>
      <protection hidden="1"/>
    </xf>
    <xf numFmtId="0" fontId="3" fillId="0" borderId="0" xfId="50" applyFont="1" applyAlignment="1" applyProtection="1">
      <alignment horizontal="left" vertical="center" wrapText="1"/>
      <protection hidden="1"/>
    </xf>
    <xf numFmtId="0" fontId="3" fillId="0" borderId="1" xfId="50" applyNumberFormat="1" applyFont="1" applyFill="1" applyBorder="1" applyAlignment="1" applyProtection="1">
      <alignment horizontal="center" vertical="center"/>
      <protection locked="0"/>
    </xf>
    <xf numFmtId="0" fontId="0" fillId="0" borderId="0" xfId="50" applyNumberFormat="1" applyFont="1" applyAlignment="1" applyProtection="1">
      <alignment vertical="center"/>
      <protection hidden="1"/>
    </xf>
    <xf numFmtId="0" fontId="4" fillId="0" borderId="2" xfId="50" applyFont="1" applyBorder="1" applyAlignment="1" applyProtection="1">
      <alignment horizontal="center" vertical="center" wrapText="1"/>
      <protection hidden="1"/>
    </xf>
    <xf numFmtId="0" fontId="5" fillId="3" borderId="2" xfId="50" applyFont="1" applyFill="1" applyBorder="1" applyAlignment="1" applyProtection="1">
      <alignment horizontal="center" vertical="center"/>
      <protection hidden="1"/>
    </xf>
    <xf numFmtId="0" fontId="2" fillId="0" borderId="0" xfId="50" applyFont="1" applyBorder="1" applyAlignment="1" applyProtection="1">
      <alignment horizontal="center" vertical="center"/>
      <protection hidden="1"/>
    </xf>
    <xf numFmtId="0" fontId="2" fillId="0" borderId="1" xfId="50" applyFont="1" applyBorder="1" applyProtection="1">
      <alignment vertical="center"/>
      <protection hidden="1"/>
    </xf>
    <xf numFmtId="0" fontId="3" fillId="0" borderId="2" xfId="50" applyFont="1" applyBorder="1" applyAlignment="1" applyProtection="1">
      <alignment horizontal="center" vertical="center" textRotation="255"/>
      <protection hidden="1"/>
    </xf>
    <xf numFmtId="0" fontId="3" fillId="0" borderId="2" xfId="50" applyFont="1" applyBorder="1" applyAlignment="1" applyProtection="1">
      <alignment vertical="center" textRotation="180" wrapText="1"/>
      <protection hidden="1"/>
    </xf>
    <xf numFmtId="0" fontId="3" fillId="0" borderId="2" xfId="50" applyFont="1" applyBorder="1" applyProtection="1">
      <alignment vertical="center"/>
      <protection hidden="1"/>
    </xf>
    <xf numFmtId="0" fontId="5" fillId="3" borderId="5" xfId="50" applyNumberFormat="1" applyFont="1" applyFill="1" applyBorder="1" applyAlignment="1" applyProtection="1">
      <alignment horizontal="center" vertical="center"/>
      <protection hidden="1"/>
    </xf>
    <xf numFmtId="0" fontId="5" fillId="3" borderId="7" xfId="50" applyNumberFormat="1" applyFont="1" applyFill="1" applyBorder="1" applyAlignment="1" applyProtection="1">
      <alignment horizontal="center" vertical="center"/>
      <protection hidden="1"/>
    </xf>
    <xf numFmtId="0" fontId="5" fillId="3" borderId="5" xfId="50" applyFont="1" applyFill="1" applyBorder="1" applyAlignment="1" applyProtection="1">
      <alignment horizontal="center" vertical="center"/>
      <protection hidden="1"/>
    </xf>
    <xf numFmtId="0" fontId="5" fillId="3" borderId="7" xfId="50" applyFont="1" applyFill="1" applyBorder="1" applyAlignment="1" applyProtection="1">
      <alignment horizontal="center" vertical="center"/>
      <protection hidden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门诊" xfId="49"/>
    <cellStyle name="常规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8\&#20840;&#38498;&#20849;&#20139;\&#20154;&#20107;&#31185;\2024&#24180;&#20840;&#38498;&#32844;&#24037;&#32771;&#21220;&#32479;&#35745;&#34920;&#65288;20240101&#27169;&#2649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录表"/>
      <sheetName val="封面"/>
      <sheetName val="考勤表"/>
      <sheetName val="花名册"/>
      <sheetName val="字典"/>
      <sheetName val="余假统计"/>
      <sheetName val="OA流程年休假"/>
      <sheetName val="统计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终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7030A0"/>
  </sheetPr>
  <dimension ref="A1:BB33"/>
  <sheetViews>
    <sheetView showZeros="0" tabSelected="1" topLeftCell="A3" workbookViewId="0">
      <selection activeCell="AQ18" sqref="AQ18:AQ19"/>
    </sheetView>
  </sheetViews>
  <sheetFormatPr defaultColWidth="9" defaultRowHeight="15"/>
  <cols>
    <col min="1" max="1" width="2.375" style="1" customWidth="1"/>
    <col min="2" max="2" width="7.5" style="2" customWidth="1"/>
    <col min="3" max="11" width="2.25" style="3" customWidth="1"/>
    <col min="12" max="20" width="2.375" style="3" customWidth="1"/>
    <col min="21" max="21" width="2.75" style="3" customWidth="1"/>
    <col min="22" max="28" width="2.375" style="3" customWidth="1"/>
    <col min="29" max="32" width="2.5" style="3" customWidth="1"/>
    <col min="33" max="33" width="2.25" style="3" customWidth="1"/>
    <col min="34" max="34" width="3.125" style="3" customWidth="1"/>
    <col min="35" max="35" width="3.25" style="3" customWidth="1"/>
    <col min="36" max="36" width="1.75" style="3" customWidth="1"/>
    <col min="37" max="37" width="1.875" style="3" customWidth="1"/>
    <col min="38" max="39" width="2.25" style="3" customWidth="1"/>
    <col min="40" max="40" width="2.125" style="3" customWidth="1"/>
    <col min="41" max="41" width="2.25" style="3" customWidth="1"/>
    <col min="42" max="42" width="1.75" style="3" customWidth="1"/>
    <col min="43" max="43" width="5.625" style="3" customWidth="1"/>
    <col min="44" max="44" width="1.75" style="3" customWidth="1"/>
    <col min="45" max="45" width="2.375" style="3" customWidth="1"/>
    <col min="46" max="46" width="2.25" style="3" customWidth="1"/>
    <col min="47" max="47" width="2" style="3" customWidth="1"/>
    <col min="48" max="48" width="2.875" style="3" customWidth="1"/>
    <col min="49" max="50" width="2.375" style="3" customWidth="1"/>
    <col min="51" max="51" width="2.625" style="3" customWidth="1"/>
    <col min="52" max="53" width="2.375" style="3" customWidth="1"/>
    <col min="54" max="54" width="4.25" style="3" customWidth="1"/>
    <col min="55" max="16384" width="9" style="3"/>
  </cols>
  <sheetData>
    <row r="1" s="1" customFormat="1" ht="25.5" spans="2:54">
      <c r="B1" s="4" t="str">
        <f>AC2&amp;"年职工考勤表"</f>
        <v>年职工考勤表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="1" customFormat="1" spans="2:54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 t="s">
        <v>1</v>
      </c>
      <c r="O2" s="6"/>
      <c r="P2" s="21" t="s">
        <v>2</v>
      </c>
      <c r="Q2" s="22"/>
      <c r="R2" s="22"/>
      <c r="S2" s="22"/>
      <c r="T2" s="23"/>
      <c r="U2" s="6"/>
      <c r="V2" s="6"/>
      <c r="W2" s="6"/>
      <c r="X2" s="6"/>
      <c r="Y2" s="6"/>
      <c r="Z2" s="24" t="s">
        <v>3</v>
      </c>
      <c r="AA2" s="6"/>
      <c r="AB2" s="25"/>
      <c r="AC2" s="26"/>
      <c r="AD2" s="26"/>
      <c r="AE2" s="26"/>
      <c r="AF2" s="27" t="s">
        <v>4</v>
      </c>
      <c r="AG2" s="29"/>
      <c r="AH2" s="29"/>
      <c r="AI2" s="24" t="s">
        <v>5</v>
      </c>
      <c r="AJ2" s="30"/>
      <c r="AK2" s="24"/>
      <c r="AM2" s="24"/>
      <c r="AN2" s="24" t="s">
        <v>6</v>
      </c>
      <c r="AO2" s="33"/>
      <c r="AP2" s="6"/>
      <c r="AQ2" s="34"/>
      <c r="AR2" s="34"/>
      <c r="AS2" s="5"/>
      <c r="AT2" s="5"/>
      <c r="AU2" s="5"/>
      <c r="AV2" s="5"/>
      <c r="AW2" s="5"/>
      <c r="AX2" s="6"/>
      <c r="AY2" s="6"/>
      <c r="AZ2" s="6"/>
      <c r="BA2" s="6"/>
      <c r="BB2" s="6"/>
    </row>
    <row r="3" s="1" customFormat="1" ht="18.75" customHeight="1" spans="2:54">
      <c r="B3" s="7" t="s">
        <v>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8" t="s">
        <v>8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</row>
    <row r="4" s="1" customFormat="1" ht="18.75" customHeight="1" spans="2:54"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</row>
    <row r="5" s="1" customFormat="1" ht="15.75" customHeight="1" spans="1:54">
      <c r="A5" s="9" t="s">
        <v>9</v>
      </c>
      <c r="B5" s="10" t="s">
        <v>10</v>
      </c>
      <c r="C5" s="11" t="s">
        <v>11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31" t="s">
        <v>12</v>
      </c>
      <c r="AI5" s="31" t="s">
        <v>13</v>
      </c>
      <c r="AJ5" s="31" t="s">
        <v>14</v>
      </c>
      <c r="AK5" s="31" t="s">
        <v>15</v>
      </c>
      <c r="AL5" s="31" t="s">
        <v>16</v>
      </c>
      <c r="AM5" s="31" t="s">
        <v>17</v>
      </c>
      <c r="AN5" s="31" t="s">
        <v>18</v>
      </c>
      <c r="AO5" s="31" t="s">
        <v>19</v>
      </c>
      <c r="AP5" s="31" t="s">
        <v>20</v>
      </c>
      <c r="AQ5" s="31" t="s">
        <v>21</v>
      </c>
      <c r="AR5" s="31" t="s">
        <v>22</v>
      </c>
      <c r="AS5" s="31" t="s">
        <v>23</v>
      </c>
      <c r="AT5" s="31" t="s">
        <v>24</v>
      </c>
      <c r="AU5" s="31" t="s">
        <v>25</v>
      </c>
      <c r="AV5" s="31" t="s">
        <v>26</v>
      </c>
      <c r="AW5" s="31" t="s">
        <v>27</v>
      </c>
      <c r="AX5" s="31" t="s">
        <v>28</v>
      </c>
      <c r="AY5" s="31" t="s">
        <v>29</v>
      </c>
      <c r="AZ5" s="31" t="s">
        <v>30</v>
      </c>
      <c r="BA5" s="31" t="s">
        <v>31</v>
      </c>
      <c r="BB5" s="31" t="s">
        <v>32</v>
      </c>
    </row>
    <row r="6" s="1" customFormat="1" ht="20.25" customHeight="1" spans="1:54">
      <c r="A6" s="9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</row>
    <row r="7" s="1" customFormat="1" ht="27.5" spans="1:54">
      <c r="A7" s="9"/>
      <c r="B7" s="12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20" t="s">
        <v>33</v>
      </c>
      <c r="AI7" s="20" t="s">
        <v>34</v>
      </c>
      <c r="AJ7" s="20" t="s">
        <v>35</v>
      </c>
      <c r="AK7" s="20" t="s">
        <v>36</v>
      </c>
      <c r="AL7" s="20" t="s">
        <v>37</v>
      </c>
      <c r="AM7" s="9" t="s">
        <v>38</v>
      </c>
      <c r="AN7" s="20" t="s">
        <v>39</v>
      </c>
      <c r="AO7" s="20" t="s">
        <v>40</v>
      </c>
      <c r="AP7" s="20" t="s">
        <v>41</v>
      </c>
      <c r="AQ7" s="9" t="s">
        <v>42</v>
      </c>
      <c r="AR7" s="35" t="s">
        <v>43</v>
      </c>
      <c r="AS7" s="35" t="s">
        <v>44</v>
      </c>
      <c r="AT7" s="36" t="s">
        <v>45</v>
      </c>
      <c r="AU7" s="20" t="s">
        <v>46</v>
      </c>
      <c r="AV7" s="9" t="s">
        <v>47</v>
      </c>
      <c r="AW7" s="20" t="s">
        <v>48</v>
      </c>
      <c r="AX7" s="37" t="s">
        <v>49</v>
      </c>
      <c r="AY7" s="37" t="s">
        <v>50</v>
      </c>
      <c r="AZ7" s="37" t="s">
        <v>51</v>
      </c>
      <c r="BA7" s="31"/>
      <c r="BB7" s="31"/>
    </row>
    <row r="8" ht="13.5" customHeight="1" spans="1:54">
      <c r="A8" s="15">
        <v>1</v>
      </c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32">
        <f>COUNTIF(C8:AG9,$AH$7)/2</f>
        <v>0</v>
      </c>
      <c r="AI8" s="32">
        <f>COUNTIF(C8:AG9,$AI$7)*0.5</f>
        <v>0</v>
      </c>
      <c r="AJ8" s="32">
        <f>COUNTIF(C8:AG9,$AJ$7)*0.5</f>
        <v>0</v>
      </c>
      <c r="AK8" s="32">
        <f>COUNTIF(C8:AG9,$AK$7)/2</f>
        <v>0</v>
      </c>
      <c r="AL8" s="32">
        <f>COUNTIF(C8:AG9,$AL$7)/2</f>
        <v>0</v>
      </c>
      <c r="AM8" s="32">
        <f>COUNTIF(C8:AG9,$AM$7)*0.5</f>
        <v>0</v>
      </c>
      <c r="AN8" s="32">
        <f>COUNTIF(C8:AG9,$AN$7)*0.5</f>
        <v>0</v>
      </c>
      <c r="AO8" s="32">
        <f>COUNTIF(C8:AG9,$AO$7)*0.5</f>
        <v>0</v>
      </c>
      <c r="AP8" s="32">
        <f>COUNTIF(C8:AG9,$AP$7)*0.5</f>
        <v>0</v>
      </c>
      <c r="AQ8" s="32">
        <f>COUNTIF(C8:AG9,$AQ$7)*0.5</f>
        <v>0</v>
      </c>
      <c r="AR8" s="32">
        <f>COUNTIF(C8:AG9,$AR$7)*0.5</f>
        <v>0</v>
      </c>
      <c r="AS8" s="32">
        <f>COUNTIF(C8:AG9,$AS$7)*0.5</f>
        <v>0</v>
      </c>
      <c r="AT8" s="32">
        <f>COUNTIF(C8:AG9,$AT$7)*0.5</f>
        <v>0</v>
      </c>
      <c r="AU8" s="32">
        <f>COUNTIF(C8:AG9,$AU$7)/2</f>
        <v>0</v>
      </c>
      <c r="AV8" s="32">
        <f>COUNTIF(C8:AG9,$AV$7)*0.5</f>
        <v>0</v>
      </c>
      <c r="AW8" s="32">
        <f>COUNTIF(C8:AG9,$AW$7)*0.5</f>
        <v>0</v>
      </c>
      <c r="AX8" s="32">
        <f>COUNTIF(C8:AG9,$AX$7)*0.5</f>
        <v>0</v>
      </c>
      <c r="AY8" s="32">
        <f>COUNTIF(C8:AG9,$AY$7)*0.5</f>
        <v>0</v>
      </c>
      <c r="AZ8" s="32">
        <f>COUNTIF(C8:AG9,$AZ$7)*0.5</f>
        <v>0</v>
      </c>
      <c r="BA8" s="32">
        <v>11</v>
      </c>
      <c r="BB8" s="38">
        <f>BA8-AQ8</f>
        <v>11</v>
      </c>
    </row>
    <row r="9" ht="13.5" customHeight="1" spans="1:54">
      <c r="A9" s="18"/>
      <c r="B9" s="19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9"/>
    </row>
    <row r="10" ht="13.5" customHeight="1" spans="1:54">
      <c r="A10" s="20">
        <v>2</v>
      </c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32">
        <f>COUNTIF(C10:AG11,$AH$7)/2</f>
        <v>0</v>
      </c>
      <c r="AI10" s="32">
        <f>COUNTIF(C10:AG11,$AI$7)*0.5</f>
        <v>0</v>
      </c>
      <c r="AJ10" s="32">
        <f>COUNTIF(C10:AG11,$AJ$7)*0.5</f>
        <v>0</v>
      </c>
      <c r="AK10" s="32">
        <f>COUNTIF(C10:AG11,$AK$7)/2</f>
        <v>0</v>
      </c>
      <c r="AL10" s="32">
        <f>COUNTIF(C10:AG11,$AL$7)/2</f>
        <v>0</v>
      </c>
      <c r="AM10" s="32">
        <f>COUNTIF(C10:AG11,$AM$7)*0.5</f>
        <v>0</v>
      </c>
      <c r="AN10" s="32">
        <f>COUNTIF(C10:AG11,$AN$7)*0.5</f>
        <v>0</v>
      </c>
      <c r="AO10" s="32">
        <f>COUNTIF(C10:AG11,$AO$7)*0.5</f>
        <v>0</v>
      </c>
      <c r="AP10" s="32">
        <f>COUNTIF(C10:AG11,$AP$7)*0.5</f>
        <v>0</v>
      </c>
      <c r="AQ10" s="32">
        <f>COUNTIF(C10:AG11,$AQ$7)*0.5</f>
        <v>0</v>
      </c>
      <c r="AR10" s="32">
        <f>COUNTIF(C10:AG11,$AR$7)*0.5</f>
        <v>0</v>
      </c>
      <c r="AS10" s="32">
        <f>COUNTIF(C10:AG11,$AS$7)*0.5</f>
        <v>0</v>
      </c>
      <c r="AT10" s="32">
        <f>COUNTIF(C10:AG11,$AT$7)*0.5</f>
        <v>0</v>
      </c>
      <c r="AU10" s="32">
        <f>COUNTIF(C10:AG11,$AU$7)/2</f>
        <v>0</v>
      </c>
      <c r="AV10" s="32">
        <f>COUNTIF(C10:AG11,$AV$7)*0.5</f>
        <v>0</v>
      </c>
      <c r="AW10" s="32">
        <f>COUNTIF(C10:AG11,$AW$7)*0.5</f>
        <v>0</v>
      </c>
      <c r="AX10" s="32">
        <f>COUNTIF(C10:AG11,$AX$7)*0.5</f>
        <v>0</v>
      </c>
      <c r="AY10" s="32">
        <f>COUNTIF(C10:AG11,$AY$7)*0.5</f>
        <v>0</v>
      </c>
      <c r="AZ10" s="32">
        <f>COUNTIF(C10:AG11,$AZ$7)*0.5</f>
        <v>0</v>
      </c>
      <c r="BA10" s="32">
        <v>11</v>
      </c>
      <c r="BB10" s="38">
        <f>BA10-AQ10</f>
        <v>11</v>
      </c>
    </row>
    <row r="11" ht="13.5" customHeight="1" spans="1:54">
      <c r="A11" s="20"/>
      <c r="B11" s="19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9"/>
    </row>
    <row r="12" ht="13.5" customHeight="1" spans="1:54">
      <c r="A12" s="15">
        <v>3</v>
      </c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32">
        <f>COUNTIF(C12:AG13,$AH$7)/2</f>
        <v>0</v>
      </c>
      <c r="AI12" s="32">
        <f>COUNTIF(C12:AG13,$AI$7)*0.5</f>
        <v>0</v>
      </c>
      <c r="AJ12" s="32">
        <f>COUNTIF(C12:AG13,$AJ$7)*0.5</f>
        <v>0</v>
      </c>
      <c r="AK12" s="32">
        <f>COUNTIF(C12:AG13,$AK$7)/2</f>
        <v>0</v>
      </c>
      <c r="AL12" s="32">
        <f>COUNTIF(C12:AG13,$AL$7)/2</f>
        <v>0</v>
      </c>
      <c r="AM12" s="32">
        <f>COUNTIF(C12:AG13,$AM$7)*0.5</f>
        <v>0</v>
      </c>
      <c r="AN12" s="32">
        <f>COUNTIF(C12:AG13,$AN$7)*0.5</f>
        <v>0</v>
      </c>
      <c r="AO12" s="32">
        <f>COUNTIF(C12:AG13,$AO$7)*0.5</f>
        <v>0</v>
      </c>
      <c r="AP12" s="32">
        <f>COUNTIF(C12:AG13,$AP$7)*0.5</f>
        <v>0</v>
      </c>
      <c r="AQ12" s="32">
        <f>COUNTIF(C12:AG13,$AQ$7)*0.5</f>
        <v>0</v>
      </c>
      <c r="AR12" s="32">
        <f>COUNTIF(C12:AG13,$AR$7)*0.5</f>
        <v>0</v>
      </c>
      <c r="AS12" s="32">
        <f>COUNTIF(C12:AG13,$AS$7)*0.5</f>
        <v>0</v>
      </c>
      <c r="AT12" s="32">
        <f>COUNTIF(C12:AG13,$AT$7)*0.5</f>
        <v>0</v>
      </c>
      <c r="AU12" s="32">
        <f>COUNTIF(C12:AG13,$AU$7)/2</f>
        <v>0</v>
      </c>
      <c r="AV12" s="32">
        <f>COUNTIF(C12:AG13,$AV$7)*0.5</f>
        <v>0</v>
      </c>
      <c r="AW12" s="32">
        <f>COUNTIF(C12:AG13,$AW$7)*0.5</f>
        <v>0</v>
      </c>
      <c r="AX12" s="32">
        <f>COUNTIF(C12:AG13,$AX$7)*0.5</f>
        <v>0</v>
      </c>
      <c r="AY12" s="32">
        <f>COUNTIF(C12:AG13,$AY$7)*0.5</f>
        <v>0</v>
      </c>
      <c r="AZ12" s="32">
        <f>COUNTIF(C12:AG13,$AZ$7)*0.5</f>
        <v>0</v>
      </c>
      <c r="BA12" s="32">
        <v>11</v>
      </c>
      <c r="BB12" s="38">
        <f>BA12-AQ12</f>
        <v>11</v>
      </c>
    </row>
    <row r="13" ht="13.5" customHeight="1" spans="1:54">
      <c r="A13" s="18"/>
      <c r="B13" s="19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9"/>
    </row>
    <row r="14" ht="13.5" customHeight="1" spans="1:54">
      <c r="A14" s="15">
        <v>5</v>
      </c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32">
        <f>COUNTIF(C14:AG15,$AH$7)/2</f>
        <v>0</v>
      </c>
      <c r="AI14" s="32">
        <f>COUNTIF(C14:AG15,$AI$7)*0.5</f>
        <v>0</v>
      </c>
      <c r="AJ14" s="32">
        <f>COUNTIF(C14:AG15,$AJ$7)*0.5</f>
        <v>0</v>
      </c>
      <c r="AK14" s="32">
        <f>COUNTIF(C14:AG15,$AK$7)/2</f>
        <v>0</v>
      </c>
      <c r="AL14" s="32">
        <f>COUNTIF(C14:AG15,$AL$7)/2</f>
        <v>0</v>
      </c>
      <c r="AM14" s="32">
        <f>COUNTIF(C14:AG15,$AM$7)*0.5</f>
        <v>0</v>
      </c>
      <c r="AN14" s="32">
        <f>COUNTIF(C14:AG15,$AN$7)*0.5</f>
        <v>0</v>
      </c>
      <c r="AO14" s="32">
        <f>COUNTIF(C14:AG15,$AO$7)*0.5</f>
        <v>0</v>
      </c>
      <c r="AP14" s="32">
        <f>COUNTIF(C14:AG15,$AP$7)*0.5</f>
        <v>0</v>
      </c>
      <c r="AQ14" s="32">
        <f>COUNTIF(C14:AG15,$AQ$7)*0.5</f>
        <v>0</v>
      </c>
      <c r="AR14" s="32">
        <f>COUNTIF(C14:AG15,$AR$7)*0.5</f>
        <v>0</v>
      </c>
      <c r="AS14" s="32">
        <f>COUNTIF(C14:AG15,$AS$7)*0.5</f>
        <v>0</v>
      </c>
      <c r="AT14" s="32">
        <f>COUNTIF(C14:AG15,$AT$7)*0.5</f>
        <v>0</v>
      </c>
      <c r="AU14" s="32">
        <f>COUNTIF(C14:AG15,$AU$7)/2</f>
        <v>0</v>
      </c>
      <c r="AV14" s="32">
        <f>COUNTIF(C14:AG15,$AV$7)*0.5</f>
        <v>0</v>
      </c>
      <c r="AW14" s="32">
        <f>COUNTIF(C14:AG15,$AW$7)*0.5</f>
        <v>0</v>
      </c>
      <c r="AX14" s="32">
        <f>COUNTIF(C14:AG15,$AX$7)*0.5</f>
        <v>0</v>
      </c>
      <c r="AY14" s="32">
        <f>COUNTIF(C14:AG15,$AY$7)*0.5</f>
        <v>0</v>
      </c>
      <c r="AZ14" s="32">
        <f>COUNTIF(C14:AG15,$AZ$7)*0.5</f>
        <v>0</v>
      </c>
      <c r="BA14" s="32">
        <v>11</v>
      </c>
      <c r="BB14" s="38">
        <f>BA14-AQ14</f>
        <v>11</v>
      </c>
    </row>
    <row r="15" ht="13.5" customHeight="1" spans="1:54">
      <c r="A15" s="18"/>
      <c r="B15" s="19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9"/>
    </row>
    <row r="16" ht="13.5" customHeight="1" spans="1:54">
      <c r="A16" s="20">
        <v>6</v>
      </c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32">
        <f>COUNTIF(C16:AG17,$AH$7)/2</f>
        <v>0</v>
      </c>
      <c r="AI16" s="32">
        <f>COUNTIF(C16:AG17,$AI$7)*0.5</f>
        <v>0</v>
      </c>
      <c r="AJ16" s="32">
        <f>COUNTIF(C16:AG17,$AJ$7)*0.5</f>
        <v>0</v>
      </c>
      <c r="AK16" s="32">
        <f>COUNTIF(C16:AG17,$AK$7)/2</f>
        <v>0</v>
      </c>
      <c r="AL16" s="32">
        <f>COUNTIF(C16:AG17,$AL$7)/2</f>
        <v>0</v>
      </c>
      <c r="AM16" s="32">
        <f>COUNTIF(C16:AG17,$AM$7)*0.5</f>
        <v>0</v>
      </c>
      <c r="AN16" s="32">
        <f>COUNTIF(C16:AG17,$AN$7)*0.5</f>
        <v>0</v>
      </c>
      <c r="AO16" s="32">
        <f>COUNTIF(C16:AG17,$AO$7)*0.5</f>
        <v>0</v>
      </c>
      <c r="AP16" s="32">
        <f>COUNTIF(C16:AG17,$AP$7)*0.5</f>
        <v>0</v>
      </c>
      <c r="AQ16" s="32">
        <f>COUNTIF(C16:AG17,$AQ$7)*0.5</f>
        <v>0</v>
      </c>
      <c r="AR16" s="32">
        <f>COUNTIF(C16:AG17,$AR$7)*0.5</f>
        <v>0</v>
      </c>
      <c r="AS16" s="32">
        <f>COUNTIF(C16:AG17,$AS$7)*0.5</f>
        <v>0</v>
      </c>
      <c r="AT16" s="32">
        <f>COUNTIF(C16:AG17,$AT$7)*0.5</f>
        <v>0</v>
      </c>
      <c r="AU16" s="32">
        <f>COUNTIF(C16:AG17,$AU$7)/2</f>
        <v>0</v>
      </c>
      <c r="AV16" s="32">
        <f>COUNTIF(C16:AG17,$AV$7)*0.5</f>
        <v>0</v>
      </c>
      <c r="AW16" s="32">
        <f>COUNTIF(C16:AG17,$AW$7)*0.5</f>
        <v>0</v>
      </c>
      <c r="AX16" s="32">
        <f>COUNTIF(C16:AG17,$AX$7)*0.5</f>
        <v>0</v>
      </c>
      <c r="AY16" s="32">
        <f>COUNTIF(C16:AG17,$AY$7)*0.5</f>
        <v>0</v>
      </c>
      <c r="AZ16" s="32">
        <f>COUNTIF(C16:AG17,$AZ$7)*0.5</f>
        <v>0</v>
      </c>
      <c r="BA16" s="32">
        <v>11</v>
      </c>
      <c r="BB16" s="38">
        <f>BA16-AQ16</f>
        <v>11</v>
      </c>
    </row>
    <row r="17" ht="13.5" customHeight="1" spans="1:54">
      <c r="A17" s="20"/>
      <c r="B17" s="19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9"/>
    </row>
    <row r="18" ht="13.5" customHeight="1" spans="1:54">
      <c r="A18" s="15">
        <v>7</v>
      </c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32">
        <f>COUNTIF(C18:AG19,$AH$7)/2</f>
        <v>0</v>
      </c>
      <c r="AI18" s="32">
        <f>COUNTIF(C18:AG19,$AI$7)*0.5</f>
        <v>0</v>
      </c>
      <c r="AJ18" s="32">
        <f>COUNTIF(C18:AG19,$AJ$7)*0.5</f>
        <v>0</v>
      </c>
      <c r="AK18" s="32">
        <f>COUNTIF(C18:AG19,$AK$7)/2</f>
        <v>0</v>
      </c>
      <c r="AL18" s="32">
        <f>COUNTIF(C18:AG19,$AL$7)/2</f>
        <v>0</v>
      </c>
      <c r="AM18" s="32">
        <f>COUNTIF(C18:AG19,$AM$7)*0.5</f>
        <v>0</v>
      </c>
      <c r="AN18" s="32">
        <f>COUNTIF(C18:AG19,$AN$7)*0.5</f>
        <v>0</v>
      </c>
      <c r="AO18" s="32">
        <f>COUNTIF(C18:AG19,$AO$7)*0.5</f>
        <v>0</v>
      </c>
      <c r="AP18" s="32">
        <f>COUNTIF(C18:AG19,$AP$7)*0.5</f>
        <v>0</v>
      </c>
      <c r="AQ18" s="32">
        <f>COUNTIF(C18:AG19,$AQ$7)*0.5</f>
        <v>0</v>
      </c>
      <c r="AR18" s="32">
        <f>COUNTIF(C18:AG19,$AR$7)*0.5</f>
        <v>0</v>
      </c>
      <c r="AS18" s="32">
        <f>COUNTIF(C18:AG19,$AS$7)*0.5</f>
        <v>0</v>
      </c>
      <c r="AT18" s="32">
        <f>COUNTIF(C18:AG19,$AT$7)*0.5</f>
        <v>0</v>
      </c>
      <c r="AU18" s="32">
        <f>COUNTIF(C18:AG19,$AU$7)/2</f>
        <v>0</v>
      </c>
      <c r="AV18" s="32">
        <f>COUNTIF(C18:AG19,$AV$7)*0.5</f>
        <v>0</v>
      </c>
      <c r="AW18" s="32">
        <f>COUNTIF(C18:AG19,$AW$7)*0.5</f>
        <v>0</v>
      </c>
      <c r="AX18" s="32">
        <f>COUNTIF(C18:AG19,$AX$7)*0.5</f>
        <v>0</v>
      </c>
      <c r="AY18" s="32">
        <f>COUNTIF(C18:AG19,$AY$7)*0.5</f>
        <v>0</v>
      </c>
      <c r="AZ18" s="32">
        <f>COUNTIF(C18:AG19,$AZ$7)*0.5</f>
        <v>0</v>
      </c>
      <c r="BA18" s="32">
        <v>11</v>
      </c>
      <c r="BB18" s="38">
        <f>BA18-AQ18</f>
        <v>11</v>
      </c>
    </row>
    <row r="19" ht="13.5" customHeight="1" spans="1:54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9"/>
    </row>
    <row r="20" ht="13.5" customHeight="1" spans="1:54">
      <c r="A20" s="20">
        <v>8</v>
      </c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32">
        <f>COUNTIF(C20:AG21,$AH$7)/2</f>
        <v>0</v>
      </c>
      <c r="AI20" s="32">
        <f>COUNTIF(C20:AG21,$AI$7)*0.5</f>
        <v>0</v>
      </c>
      <c r="AJ20" s="32">
        <f>COUNTIF(C20:AG21,$AJ$7)*0.5</f>
        <v>0</v>
      </c>
      <c r="AK20" s="32">
        <f>COUNTIF(C20:AG21,$AK$7)/2</f>
        <v>0</v>
      </c>
      <c r="AL20" s="32">
        <f>COUNTIF(C20:AG21,$AL$7)/2</f>
        <v>0</v>
      </c>
      <c r="AM20" s="32">
        <f>COUNTIF(C20:AG21,$AM$7)*0.5</f>
        <v>0</v>
      </c>
      <c r="AN20" s="32">
        <f>COUNTIF(C20:AG21,$AN$7)*0.5</f>
        <v>0</v>
      </c>
      <c r="AO20" s="32">
        <f>COUNTIF(C20:AG21,$AO$7)*0.5</f>
        <v>0</v>
      </c>
      <c r="AP20" s="32">
        <f>COUNTIF(C20:AG21,$AP$7)*0.5</f>
        <v>0</v>
      </c>
      <c r="AQ20" s="32">
        <f>COUNTIF(C20:AG21,$AQ$7)*0.5</f>
        <v>0</v>
      </c>
      <c r="AR20" s="32">
        <f>COUNTIF(C20:AG21,$AR$7)*0.5</f>
        <v>0</v>
      </c>
      <c r="AS20" s="32">
        <f>COUNTIF(C20:AG21,$AS$7)*0.5</f>
        <v>0</v>
      </c>
      <c r="AT20" s="32">
        <f>COUNTIF(C20:AG21,$AT$7)*0.5</f>
        <v>0</v>
      </c>
      <c r="AU20" s="32">
        <f>COUNTIF(C20:AG21,$AU$7)/2</f>
        <v>0</v>
      </c>
      <c r="AV20" s="32">
        <f>COUNTIF(C20:AG21,$AV$7)*0.5</f>
        <v>0</v>
      </c>
      <c r="AW20" s="32">
        <f>COUNTIF(C20:AG21,$AW$7)*0.5</f>
        <v>0</v>
      </c>
      <c r="AX20" s="32">
        <f>COUNTIF(C20:AG21,$AX$7)*0.5</f>
        <v>0</v>
      </c>
      <c r="AY20" s="32">
        <f>COUNTIF(C20:AG21,$AY$7)*0.5</f>
        <v>0</v>
      </c>
      <c r="AZ20" s="32">
        <f>COUNTIF(C20:AG21,$AZ$7)*0.5</f>
        <v>0</v>
      </c>
      <c r="BA20" s="32">
        <v>11</v>
      </c>
      <c r="BB20" s="38">
        <f>BA20-AQ20</f>
        <v>11</v>
      </c>
    </row>
    <row r="21" ht="13.5" customHeight="1" spans="1:54">
      <c r="A21" s="20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9"/>
    </row>
    <row r="22" ht="13.5" customHeight="1" spans="1:54">
      <c r="A22" s="15">
        <v>9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32">
        <f>COUNTIF(C22:AG23,$AH$7)/2</f>
        <v>0</v>
      </c>
      <c r="AI22" s="32">
        <f>COUNTIF(C22:AG23,$AI$7)*0.5</f>
        <v>0</v>
      </c>
      <c r="AJ22" s="32">
        <f>COUNTIF(C22:AG23,$AJ$7)*0.5</f>
        <v>0</v>
      </c>
      <c r="AK22" s="32">
        <f>COUNTIF(C22:AG23,$AK$7)/2</f>
        <v>0</v>
      </c>
      <c r="AL22" s="32">
        <f>COUNTIF(C22:AG23,$AL$7)/2</f>
        <v>0</v>
      </c>
      <c r="AM22" s="32">
        <f>COUNTIF(C22:AG23,$AM$7)*0.5</f>
        <v>0</v>
      </c>
      <c r="AN22" s="32">
        <f>COUNTIF(C22:AG23,$AN$7)*0.5</f>
        <v>0</v>
      </c>
      <c r="AO22" s="32">
        <f>COUNTIF(C22:AG23,$AO$7)*0.5</f>
        <v>0</v>
      </c>
      <c r="AP22" s="32">
        <f>COUNTIF(C22:AG23,$AP$7)*0.5</f>
        <v>0</v>
      </c>
      <c r="AQ22" s="32">
        <f>COUNTIF(C22:AG23,$AQ$7)*0.5</f>
        <v>0</v>
      </c>
      <c r="AR22" s="32">
        <f>COUNTIF(C22:AG23,$AR$7)*0.5</f>
        <v>0</v>
      </c>
      <c r="AS22" s="32">
        <f>COUNTIF(C22:AG23,$AS$7)*0.5</f>
        <v>0</v>
      </c>
      <c r="AT22" s="32">
        <f>COUNTIF(C22:AG23,$AT$7)*0.5</f>
        <v>0</v>
      </c>
      <c r="AU22" s="32">
        <f>COUNTIF(C22:AG23,$AU$7)/2</f>
        <v>0</v>
      </c>
      <c r="AV22" s="32">
        <f>COUNTIF(C22:AG23,$AV$7)*0.5</f>
        <v>0</v>
      </c>
      <c r="AW22" s="32">
        <f>COUNTIF(C22:AG23,$AW$7)*0.5</f>
        <v>0</v>
      </c>
      <c r="AX22" s="32">
        <f>COUNTIF(C22:AG23,$AX$7)*0.5</f>
        <v>0</v>
      </c>
      <c r="AY22" s="32">
        <f>COUNTIF(C22:AG23,$AY$7)*0.5</f>
        <v>0</v>
      </c>
      <c r="AZ22" s="32">
        <f>COUNTIF(C22:AG23,$AZ$7)*0.5</f>
        <v>0</v>
      </c>
      <c r="BA22" s="32">
        <v>11</v>
      </c>
      <c r="BB22" s="38">
        <f>BA22-AQ22</f>
        <v>11</v>
      </c>
    </row>
    <row r="23" ht="13.5" customHeight="1" spans="1:54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9"/>
    </row>
    <row r="24" ht="13.5" customHeight="1" spans="1:54">
      <c r="A24" s="20">
        <v>10</v>
      </c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32">
        <f>COUNTIF(C24:AG25,$AH$7)/2</f>
        <v>0</v>
      </c>
      <c r="AI24" s="32">
        <f>COUNTIF(C24:AG25,$AI$7)*0.5</f>
        <v>0</v>
      </c>
      <c r="AJ24" s="32">
        <f>COUNTIF(C24:AG25,$AJ$7)*0.5</f>
        <v>0</v>
      </c>
      <c r="AK24" s="32">
        <f>COUNTIF(C24:AG25,$AK$7)/2</f>
        <v>0</v>
      </c>
      <c r="AL24" s="32">
        <f>COUNTIF(C24:AG25,$AL$7)/2</f>
        <v>0</v>
      </c>
      <c r="AM24" s="32">
        <f>COUNTIF(C24:AG25,$AM$7)*0.5</f>
        <v>0</v>
      </c>
      <c r="AN24" s="32">
        <f>COUNTIF(C24:AG25,$AN$7)*0.5</f>
        <v>0</v>
      </c>
      <c r="AO24" s="32">
        <f>COUNTIF(C24:AG25,$AO$7)*0.5</f>
        <v>0</v>
      </c>
      <c r="AP24" s="32">
        <f>COUNTIF(C24:AG25,$AP$7)*0.5</f>
        <v>0</v>
      </c>
      <c r="AQ24" s="32">
        <f>COUNTIF(C24:AG25,$AQ$7)*0.5</f>
        <v>0</v>
      </c>
      <c r="AR24" s="32">
        <f>COUNTIF(C24:AG25,$AR$7)*0.5</f>
        <v>0</v>
      </c>
      <c r="AS24" s="32">
        <f>COUNTIF(C24:AG25,$AS$7)*0.5</f>
        <v>0</v>
      </c>
      <c r="AT24" s="32">
        <f>COUNTIF(C24:AG25,$AT$7)*0.5</f>
        <v>0</v>
      </c>
      <c r="AU24" s="32">
        <f>COUNTIF(C24:AG25,$AU$7)/2</f>
        <v>0</v>
      </c>
      <c r="AV24" s="32">
        <f>COUNTIF(C24:AG25,$AV$7)*0.5</f>
        <v>0</v>
      </c>
      <c r="AW24" s="32">
        <f>COUNTIF(C24:AG25,$AW$7)*0.5</f>
        <v>0</v>
      </c>
      <c r="AX24" s="32">
        <f>COUNTIF(C24:AG25,$AX$7)*0.5</f>
        <v>0</v>
      </c>
      <c r="AY24" s="32">
        <f>COUNTIF(C24:AG25,$AY$7)*0.5</f>
        <v>0</v>
      </c>
      <c r="AZ24" s="32">
        <f>COUNTIF(C24:AG25,$AZ$7)*0.5</f>
        <v>0</v>
      </c>
      <c r="BA24" s="32">
        <v>11</v>
      </c>
      <c r="BB24" s="38">
        <f>BA24-AQ24</f>
        <v>11</v>
      </c>
    </row>
    <row r="25" ht="13.5" customHeight="1" spans="1:54">
      <c r="A25" s="20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9"/>
    </row>
    <row r="26" ht="13.5" customHeight="1" spans="1:54">
      <c r="A26" s="20">
        <v>11</v>
      </c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32">
        <f>COUNTIF(C26:AG27,$AH$7)/2</f>
        <v>0</v>
      </c>
      <c r="AI26" s="32">
        <f>COUNTIF(C26:AG27,$AI$7)*0.5</f>
        <v>0</v>
      </c>
      <c r="AJ26" s="32">
        <f>COUNTIF(C26:AG27,$AJ$7)*0.5</f>
        <v>0</v>
      </c>
      <c r="AK26" s="32">
        <f>COUNTIF(C26:AG27,$AK$7)/2</f>
        <v>0</v>
      </c>
      <c r="AL26" s="32">
        <f>COUNTIF(C26:AG27,$AL$7)/2</f>
        <v>0</v>
      </c>
      <c r="AM26" s="32">
        <f>COUNTIF(C26:AG27,$AM$7)*0.5</f>
        <v>0</v>
      </c>
      <c r="AN26" s="32">
        <f>COUNTIF(C26:AG27,$AN$7)*0.5</f>
        <v>0</v>
      </c>
      <c r="AO26" s="32">
        <f>COUNTIF(C26:AG27,$AO$7)*0.5</f>
        <v>0</v>
      </c>
      <c r="AP26" s="32">
        <f>COUNTIF(C26:AG27,$AP$7)*0.5</f>
        <v>0</v>
      </c>
      <c r="AQ26" s="32">
        <f>COUNTIF(C26:AG27,$AQ$7)*0.5</f>
        <v>0</v>
      </c>
      <c r="AR26" s="32">
        <f>COUNTIF(C26:AG27,$AR$7)*0.5</f>
        <v>0</v>
      </c>
      <c r="AS26" s="32">
        <f>COUNTIF(C26:AG27,$AS$7)*0.5</f>
        <v>0</v>
      </c>
      <c r="AT26" s="32">
        <f>COUNTIF(C26:AG27,$AT$7)*0.5</f>
        <v>0</v>
      </c>
      <c r="AU26" s="32">
        <f>COUNTIF(C26:AG27,$AU$7)/2</f>
        <v>0</v>
      </c>
      <c r="AV26" s="32">
        <f>COUNTIF(C26:AG27,$AV$7)*0.5</f>
        <v>0</v>
      </c>
      <c r="AW26" s="32">
        <f>COUNTIF(C26:AG27,$AW$7)*0.5</f>
        <v>0</v>
      </c>
      <c r="AX26" s="32">
        <f>COUNTIF(C26:AG27,$AX$7)*0.5</f>
        <v>0</v>
      </c>
      <c r="AY26" s="32">
        <f>COUNTIF(C26:AG27,$AY$7)*0.5</f>
        <v>0</v>
      </c>
      <c r="AZ26" s="32">
        <f>COUNTIF(C26:AG27,$AZ$7)*0.5</f>
        <v>0</v>
      </c>
      <c r="BA26" s="40"/>
      <c r="BB26" s="38">
        <f>BA26-AQ26</f>
        <v>0</v>
      </c>
    </row>
    <row r="27" ht="13.5" customHeight="1" spans="1:54">
      <c r="A27" s="20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41"/>
      <c r="BB27" s="39"/>
    </row>
    <row r="28" ht="13.5" customHeight="1" spans="1:54">
      <c r="A28" s="20">
        <v>12</v>
      </c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32">
        <f>COUNTIF(C28:AG29,$AH$7)/2</f>
        <v>0</v>
      </c>
      <c r="AI28" s="32">
        <f>COUNTIF(C28:AG29,$AI$7)*0.5</f>
        <v>0</v>
      </c>
      <c r="AJ28" s="32">
        <f>COUNTIF(C28:AG29,$AJ$7)*0.5</f>
        <v>0</v>
      </c>
      <c r="AK28" s="32">
        <f>COUNTIF(C28:AG29,$AK$7)/2</f>
        <v>0</v>
      </c>
      <c r="AL28" s="32">
        <f>COUNTIF(C28:AG29,$AL$7)/2</f>
        <v>0</v>
      </c>
      <c r="AM28" s="32">
        <f>COUNTIF(C28:AG29,$AM$7)*0.5</f>
        <v>0</v>
      </c>
      <c r="AN28" s="32">
        <f>COUNTIF(C28:AG29,$AN$7)*0.5</f>
        <v>0</v>
      </c>
      <c r="AO28" s="32">
        <f>COUNTIF(C28:AG29,$AO$7)*0.5</f>
        <v>0</v>
      </c>
      <c r="AP28" s="32">
        <f>COUNTIF(C28:AG29,$AP$7)*0.5</f>
        <v>0</v>
      </c>
      <c r="AQ28" s="32">
        <f>COUNTIF(C28:AG29,$AQ$7)*0.5</f>
        <v>0</v>
      </c>
      <c r="AR28" s="32">
        <f>COUNTIF(C28:AG29,$AR$7)*0.5</f>
        <v>0</v>
      </c>
      <c r="AS28" s="32">
        <f>COUNTIF(C28:AG29,$AS$7)*0.5</f>
        <v>0</v>
      </c>
      <c r="AT28" s="32">
        <f>COUNTIF(C28:AG29,$AT$7)*0.5</f>
        <v>0</v>
      </c>
      <c r="AU28" s="32">
        <f>COUNTIF(C28:AG29,$AU$7)/2</f>
        <v>0</v>
      </c>
      <c r="AV28" s="32">
        <f>COUNTIF(C28:AG29,$AV$7)*0.5</f>
        <v>0</v>
      </c>
      <c r="AW28" s="32">
        <f>COUNTIF(C28:AG29,$AW$7)*0.5</f>
        <v>0</v>
      </c>
      <c r="AX28" s="32">
        <f>COUNTIF(C28:AG29,$AX$7)*0.5</f>
        <v>0</v>
      </c>
      <c r="AY28" s="32">
        <f>COUNTIF(C28:AG29,$AY$7)*0.5</f>
        <v>0</v>
      </c>
      <c r="AZ28" s="32">
        <f>COUNTIF(C28:AG29,$AZ$7)*0.5</f>
        <v>0</v>
      </c>
      <c r="BA28" s="40"/>
      <c r="BB28" s="38">
        <f>BA28-AQ28</f>
        <v>0</v>
      </c>
    </row>
    <row r="29" ht="13.5" customHeight="1" spans="1:54">
      <c r="A29" s="20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41"/>
      <c r="BB29" s="39"/>
    </row>
    <row r="30" ht="13.5" customHeight="1" spans="1:54">
      <c r="A30" s="20">
        <v>13</v>
      </c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32">
        <f>COUNTIF(C30:AG31,$AH$7)/2</f>
        <v>0</v>
      </c>
      <c r="AI30" s="32">
        <f>COUNTIF(C30:AG31,$AI$7)*0.5</f>
        <v>0</v>
      </c>
      <c r="AJ30" s="32">
        <f>COUNTIF(C30:AG31,$AJ$7)*0.5</f>
        <v>0</v>
      </c>
      <c r="AK30" s="32">
        <f>COUNTIF(C30:AG31,$AK$7)/2</f>
        <v>0</v>
      </c>
      <c r="AL30" s="32">
        <f>COUNTIF(C30:AG31,$AL$7)/2</f>
        <v>0</v>
      </c>
      <c r="AM30" s="32">
        <f>COUNTIF(C30:AG31,$AM$7)*0.5</f>
        <v>0</v>
      </c>
      <c r="AN30" s="32">
        <f>COUNTIF(C30:AG31,$AN$7)*0.5</f>
        <v>0</v>
      </c>
      <c r="AO30" s="32">
        <f>COUNTIF(C30:AG31,$AO$7)*0.5</f>
        <v>0</v>
      </c>
      <c r="AP30" s="32">
        <f>COUNTIF(C30:AG31,$AP$7)*0.5</f>
        <v>0</v>
      </c>
      <c r="AQ30" s="32">
        <f>COUNTIF(C30:AG31,$AQ$7)*0.5</f>
        <v>0</v>
      </c>
      <c r="AR30" s="32">
        <f>COUNTIF(C30:AG31,$AR$7)*0.5</f>
        <v>0</v>
      </c>
      <c r="AS30" s="32">
        <f>COUNTIF(C30:AG31,$AS$7)*0.5</f>
        <v>0</v>
      </c>
      <c r="AT30" s="32">
        <f>COUNTIF(C30:AG31,$AT$7)*0.5</f>
        <v>0</v>
      </c>
      <c r="AU30" s="32">
        <f>COUNTIF(C30:AG31,$AU$7)/2</f>
        <v>0</v>
      </c>
      <c r="AV30" s="32">
        <f>COUNTIF(C30:AG31,$AV$7)*0.5</f>
        <v>0</v>
      </c>
      <c r="AW30" s="32">
        <f>COUNTIF(C30:AG31,$AW$7)*0.5</f>
        <v>0</v>
      </c>
      <c r="AX30" s="32">
        <f>COUNTIF(C30:AG31,$AX$7)*0.5</f>
        <v>0</v>
      </c>
      <c r="AY30" s="32">
        <f>COUNTIF(C30:AG31,$AY$7)*0.5</f>
        <v>0</v>
      </c>
      <c r="AZ30" s="32">
        <f>COUNTIF(C30:AG31,$AZ$7)*0.5</f>
        <v>0</v>
      </c>
      <c r="BA30" s="40"/>
      <c r="BB30" s="38">
        <f>BA30-AQ30</f>
        <v>0</v>
      </c>
    </row>
    <row r="31" ht="13.5" customHeight="1" spans="1:54">
      <c r="A31" s="20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41"/>
      <c r="BB31" s="39"/>
    </row>
    <row r="32" ht="13.5" customHeight="1" spans="1:54">
      <c r="A32" s="20">
        <v>18</v>
      </c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32">
        <f>COUNTIF(C32:AG33,$AH$7)/2</f>
        <v>0</v>
      </c>
      <c r="AI32" s="32">
        <f>COUNTIF(C32:AG33,$AI$7)*0.5</f>
        <v>0</v>
      </c>
      <c r="AJ32" s="32">
        <f>COUNTIF(C32:AG33,$AJ$7)*0.5</f>
        <v>0</v>
      </c>
      <c r="AK32" s="32">
        <f>COUNTIF(C32:AG33,$AK$7)/2</f>
        <v>0</v>
      </c>
      <c r="AL32" s="32">
        <f>COUNTIF(C32:AG33,$AL$7)/2</f>
        <v>0</v>
      </c>
      <c r="AM32" s="32">
        <f>COUNTIF(C32:AG33,$AM$7)*0.5</f>
        <v>0</v>
      </c>
      <c r="AN32" s="32">
        <f>COUNTIF(C32:AG33,$AN$7)*0.5</f>
        <v>0</v>
      </c>
      <c r="AO32" s="32">
        <f>COUNTIF(C32:AG33,$AO$7)*0.5</f>
        <v>0</v>
      </c>
      <c r="AP32" s="32">
        <f>COUNTIF(C32:AG33,$AP$7)*0.5</f>
        <v>0</v>
      </c>
      <c r="AQ32" s="32">
        <f>COUNTIF(C32:AG33,$AQ$7)*0.5</f>
        <v>0</v>
      </c>
      <c r="AR32" s="32">
        <f>COUNTIF(C32:AG33,$AR$7)*0.5</f>
        <v>0</v>
      </c>
      <c r="AS32" s="32">
        <f>COUNTIF(C32:AG33,$AS$7)*0.5</f>
        <v>0</v>
      </c>
      <c r="AT32" s="32">
        <f>COUNTIF(C32:AG33,$AT$7)*0.5</f>
        <v>0</v>
      </c>
      <c r="AU32" s="32">
        <f>COUNTIF(C32:AG33,$AU$7)/2</f>
        <v>0</v>
      </c>
      <c r="AV32" s="32">
        <f>COUNTIF(C32:AG33,$AV$7)*0.5</f>
        <v>0</v>
      </c>
      <c r="AW32" s="32">
        <f>COUNTIF(C32:AG33,$AW$7)*0.5</f>
        <v>0</v>
      </c>
      <c r="AX32" s="32">
        <f>COUNTIF(C32:AG33,$AX$7)*0.5</f>
        <v>0</v>
      </c>
      <c r="AY32" s="32">
        <f>COUNTIF(C32:AG33,$AY$7)*0.5</f>
        <v>0</v>
      </c>
      <c r="AZ32" s="32">
        <f>COUNTIF(C32:AG33,$AZ$7)*0.5</f>
        <v>0</v>
      </c>
      <c r="BA32" s="40"/>
      <c r="BB32" s="38">
        <f>BA32-AQ32</f>
        <v>0</v>
      </c>
    </row>
    <row r="33" ht="13.5" customHeight="1" spans="1:54">
      <c r="A33" s="20"/>
      <c r="B33" s="1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41"/>
      <c r="BB33" s="39"/>
    </row>
  </sheetData>
  <sheetProtection selectLockedCells="1"/>
  <mergeCells count="329">
    <mergeCell ref="P2:T2"/>
    <mergeCell ref="AC2:AE2"/>
    <mergeCell ref="AG2:AH2"/>
    <mergeCell ref="AS2:AW2"/>
    <mergeCell ref="C5:AG5"/>
    <mergeCell ref="A5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AH5:AH6"/>
    <mergeCell ref="AH8:AH9"/>
    <mergeCell ref="AH10:AH11"/>
    <mergeCell ref="AH12:AH13"/>
    <mergeCell ref="AH14:AH15"/>
    <mergeCell ref="AH16:AH17"/>
    <mergeCell ref="AH18:AH19"/>
    <mergeCell ref="AH20:AH21"/>
    <mergeCell ref="AH22:AH23"/>
    <mergeCell ref="AH24:AH25"/>
    <mergeCell ref="AH26:AH27"/>
    <mergeCell ref="AH28:AH29"/>
    <mergeCell ref="AH30:AH31"/>
    <mergeCell ref="AH32:AH33"/>
    <mergeCell ref="AI5:AI6"/>
    <mergeCell ref="AI8:AI9"/>
    <mergeCell ref="AI10:AI11"/>
    <mergeCell ref="AI12:AI13"/>
    <mergeCell ref="AI14:AI15"/>
    <mergeCell ref="AI16:AI17"/>
    <mergeCell ref="AI18:AI19"/>
    <mergeCell ref="AI20:AI21"/>
    <mergeCell ref="AI22:AI23"/>
    <mergeCell ref="AI24:AI25"/>
    <mergeCell ref="AI26:AI27"/>
    <mergeCell ref="AI28:AI29"/>
    <mergeCell ref="AI30:AI31"/>
    <mergeCell ref="AI32:AI33"/>
    <mergeCell ref="AJ5:AJ6"/>
    <mergeCell ref="AJ8:AJ9"/>
    <mergeCell ref="AJ10:AJ11"/>
    <mergeCell ref="AJ12:AJ13"/>
    <mergeCell ref="AJ14:AJ15"/>
    <mergeCell ref="AJ16:AJ17"/>
    <mergeCell ref="AJ18:AJ19"/>
    <mergeCell ref="AJ20:AJ21"/>
    <mergeCell ref="AJ22:AJ23"/>
    <mergeCell ref="AJ24:AJ25"/>
    <mergeCell ref="AJ26:AJ27"/>
    <mergeCell ref="AJ28:AJ29"/>
    <mergeCell ref="AJ30:AJ31"/>
    <mergeCell ref="AJ32:AJ33"/>
    <mergeCell ref="AK5:AK6"/>
    <mergeCell ref="AK8:AK9"/>
    <mergeCell ref="AK10:AK11"/>
    <mergeCell ref="AK12:AK13"/>
    <mergeCell ref="AK14:AK15"/>
    <mergeCell ref="AK16:AK17"/>
    <mergeCell ref="AK18:AK19"/>
    <mergeCell ref="AK20:AK21"/>
    <mergeCell ref="AK22:AK23"/>
    <mergeCell ref="AK24:AK25"/>
    <mergeCell ref="AK26:AK27"/>
    <mergeCell ref="AK28:AK29"/>
    <mergeCell ref="AK30:AK31"/>
    <mergeCell ref="AK32:AK33"/>
    <mergeCell ref="AL5:AL6"/>
    <mergeCell ref="AL8:AL9"/>
    <mergeCell ref="AL10:AL11"/>
    <mergeCell ref="AL12:AL13"/>
    <mergeCell ref="AL14:AL15"/>
    <mergeCell ref="AL16:AL17"/>
    <mergeCell ref="AL18:AL19"/>
    <mergeCell ref="AL20:AL21"/>
    <mergeCell ref="AL22:AL23"/>
    <mergeCell ref="AL24:AL25"/>
    <mergeCell ref="AL26:AL27"/>
    <mergeCell ref="AL28:AL29"/>
    <mergeCell ref="AL30:AL31"/>
    <mergeCell ref="AL32:AL33"/>
    <mergeCell ref="AM5:AM6"/>
    <mergeCell ref="AM8:AM9"/>
    <mergeCell ref="AM10:AM11"/>
    <mergeCell ref="AM12:AM13"/>
    <mergeCell ref="AM14:AM15"/>
    <mergeCell ref="AM16:AM17"/>
    <mergeCell ref="AM18:AM19"/>
    <mergeCell ref="AM20:AM21"/>
    <mergeCell ref="AM22:AM23"/>
    <mergeCell ref="AM24:AM25"/>
    <mergeCell ref="AM26:AM27"/>
    <mergeCell ref="AM28:AM29"/>
    <mergeCell ref="AM30:AM31"/>
    <mergeCell ref="AM32:AM33"/>
    <mergeCell ref="AN5:AN6"/>
    <mergeCell ref="AN8:AN9"/>
    <mergeCell ref="AN10:AN11"/>
    <mergeCell ref="AN12:AN13"/>
    <mergeCell ref="AN14:AN15"/>
    <mergeCell ref="AN16:AN17"/>
    <mergeCell ref="AN18:AN19"/>
    <mergeCell ref="AN20:AN21"/>
    <mergeCell ref="AN22:AN23"/>
    <mergeCell ref="AN24:AN25"/>
    <mergeCell ref="AN26:AN27"/>
    <mergeCell ref="AN28:AN29"/>
    <mergeCell ref="AN30:AN31"/>
    <mergeCell ref="AN32:AN33"/>
    <mergeCell ref="AO5:AO6"/>
    <mergeCell ref="AO8:AO9"/>
    <mergeCell ref="AO10:AO11"/>
    <mergeCell ref="AO12:AO13"/>
    <mergeCell ref="AO14:AO15"/>
    <mergeCell ref="AO16:AO17"/>
    <mergeCell ref="AO18:AO19"/>
    <mergeCell ref="AO20:AO21"/>
    <mergeCell ref="AO22:AO23"/>
    <mergeCell ref="AO24:AO25"/>
    <mergeCell ref="AO26:AO27"/>
    <mergeCell ref="AO28:AO29"/>
    <mergeCell ref="AO30:AO31"/>
    <mergeCell ref="AO32:AO33"/>
    <mergeCell ref="AP5:AP6"/>
    <mergeCell ref="AP8:AP9"/>
    <mergeCell ref="AP10:AP11"/>
    <mergeCell ref="AP12:AP13"/>
    <mergeCell ref="AP14:AP15"/>
    <mergeCell ref="AP16:AP17"/>
    <mergeCell ref="AP18:AP19"/>
    <mergeCell ref="AP20:AP21"/>
    <mergeCell ref="AP22:AP23"/>
    <mergeCell ref="AP24:AP25"/>
    <mergeCell ref="AP26:AP27"/>
    <mergeCell ref="AP28:AP29"/>
    <mergeCell ref="AP30:AP31"/>
    <mergeCell ref="AP32:AP33"/>
    <mergeCell ref="AQ5:AQ6"/>
    <mergeCell ref="AQ8:AQ9"/>
    <mergeCell ref="AQ10:AQ11"/>
    <mergeCell ref="AQ12:AQ13"/>
    <mergeCell ref="AQ14:AQ15"/>
    <mergeCell ref="AQ16:AQ17"/>
    <mergeCell ref="AQ18:AQ19"/>
    <mergeCell ref="AQ20:AQ21"/>
    <mergeCell ref="AQ22:AQ23"/>
    <mergeCell ref="AQ24:AQ25"/>
    <mergeCell ref="AQ26:AQ27"/>
    <mergeCell ref="AQ28:AQ29"/>
    <mergeCell ref="AQ30:AQ31"/>
    <mergeCell ref="AQ32:AQ33"/>
    <mergeCell ref="AR5:AR6"/>
    <mergeCell ref="AR8:AR9"/>
    <mergeCell ref="AR10:AR11"/>
    <mergeCell ref="AR12:AR13"/>
    <mergeCell ref="AR14:AR15"/>
    <mergeCell ref="AR16:AR17"/>
    <mergeCell ref="AR18:AR19"/>
    <mergeCell ref="AR20:AR21"/>
    <mergeCell ref="AR22:AR23"/>
    <mergeCell ref="AR24:AR25"/>
    <mergeCell ref="AR26:AR27"/>
    <mergeCell ref="AR28:AR29"/>
    <mergeCell ref="AR30:AR31"/>
    <mergeCell ref="AR32:AR33"/>
    <mergeCell ref="AS5:AS6"/>
    <mergeCell ref="AS8:AS9"/>
    <mergeCell ref="AS10:AS11"/>
    <mergeCell ref="AS12:AS13"/>
    <mergeCell ref="AS14:AS15"/>
    <mergeCell ref="AS16:AS17"/>
    <mergeCell ref="AS18:AS19"/>
    <mergeCell ref="AS20:AS21"/>
    <mergeCell ref="AS22:AS23"/>
    <mergeCell ref="AS24:AS25"/>
    <mergeCell ref="AS26:AS27"/>
    <mergeCell ref="AS28:AS29"/>
    <mergeCell ref="AS30:AS31"/>
    <mergeCell ref="AS32:AS33"/>
    <mergeCell ref="AT5:AT6"/>
    <mergeCell ref="AT8:AT9"/>
    <mergeCell ref="AT10:AT11"/>
    <mergeCell ref="AT12:AT13"/>
    <mergeCell ref="AT14:AT15"/>
    <mergeCell ref="AT16:AT17"/>
    <mergeCell ref="AT18:AT19"/>
    <mergeCell ref="AT20:AT21"/>
    <mergeCell ref="AT22:AT23"/>
    <mergeCell ref="AT24:AT25"/>
    <mergeCell ref="AT26:AT27"/>
    <mergeCell ref="AT28:AT29"/>
    <mergeCell ref="AT30:AT31"/>
    <mergeCell ref="AT32:AT33"/>
    <mergeCell ref="AU5:AU6"/>
    <mergeCell ref="AU8:AU9"/>
    <mergeCell ref="AU10:AU11"/>
    <mergeCell ref="AU12:AU13"/>
    <mergeCell ref="AU14:AU15"/>
    <mergeCell ref="AU16:AU17"/>
    <mergeCell ref="AU18:AU19"/>
    <mergeCell ref="AU20:AU21"/>
    <mergeCell ref="AU22:AU23"/>
    <mergeCell ref="AU24:AU25"/>
    <mergeCell ref="AU26:AU27"/>
    <mergeCell ref="AU28:AU29"/>
    <mergeCell ref="AU30:AU31"/>
    <mergeCell ref="AU32:AU33"/>
    <mergeCell ref="AV5:AV6"/>
    <mergeCell ref="AV8:AV9"/>
    <mergeCell ref="AV10:AV11"/>
    <mergeCell ref="AV12:AV13"/>
    <mergeCell ref="AV14:AV15"/>
    <mergeCell ref="AV16:AV17"/>
    <mergeCell ref="AV18:AV19"/>
    <mergeCell ref="AV20:AV21"/>
    <mergeCell ref="AV22:AV23"/>
    <mergeCell ref="AV24:AV25"/>
    <mergeCell ref="AV26:AV27"/>
    <mergeCell ref="AV28:AV29"/>
    <mergeCell ref="AV30:AV31"/>
    <mergeCell ref="AV32:AV33"/>
    <mergeCell ref="AW5:AW6"/>
    <mergeCell ref="AW8:AW9"/>
    <mergeCell ref="AW10:AW11"/>
    <mergeCell ref="AW12:AW13"/>
    <mergeCell ref="AW14:AW15"/>
    <mergeCell ref="AW16:AW17"/>
    <mergeCell ref="AW18:AW19"/>
    <mergeCell ref="AW20:AW21"/>
    <mergeCell ref="AW22:AW23"/>
    <mergeCell ref="AW24:AW25"/>
    <mergeCell ref="AW26:AW27"/>
    <mergeCell ref="AW28:AW29"/>
    <mergeCell ref="AW30:AW31"/>
    <mergeCell ref="AW32:AW33"/>
    <mergeCell ref="AX5:AX6"/>
    <mergeCell ref="AX8:AX9"/>
    <mergeCell ref="AX10:AX11"/>
    <mergeCell ref="AX12:AX13"/>
    <mergeCell ref="AX14:AX15"/>
    <mergeCell ref="AX16:AX17"/>
    <mergeCell ref="AX18:AX19"/>
    <mergeCell ref="AX20:AX21"/>
    <mergeCell ref="AX22:AX23"/>
    <mergeCell ref="AX24:AX25"/>
    <mergeCell ref="AX26:AX27"/>
    <mergeCell ref="AX28:AX29"/>
    <mergeCell ref="AX30:AX31"/>
    <mergeCell ref="AX32:AX33"/>
    <mergeCell ref="AY5:AY6"/>
    <mergeCell ref="AY8:AY9"/>
    <mergeCell ref="AY10:AY11"/>
    <mergeCell ref="AY12:AY13"/>
    <mergeCell ref="AY14:AY15"/>
    <mergeCell ref="AY16:AY17"/>
    <mergeCell ref="AY18:AY19"/>
    <mergeCell ref="AY20:AY21"/>
    <mergeCell ref="AY22:AY23"/>
    <mergeCell ref="AY24:AY25"/>
    <mergeCell ref="AY26:AY27"/>
    <mergeCell ref="AY28:AY29"/>
    <mergeCell ref="AY30:AY31"/>
    <mergeCell ref="AY32:AY33"/>
    <mergeCell ref="AZ5:AZ6"/>
    <mergeCell ref="AZ8:AZ9"/>
    <mergeCell ref="AZ10:AZ11"/>
    <mergeCell ref="AZ12:AZ13"/>
    <mergeCell ref="AZ14:AZ15"/>
    <mergeCell ref="AZ16:AZ17"/>
    <mergeCell ref="AZ18:AZ19"/>
    <mergeCell ref="AZ20:AZ21"/>
    <mergeCell ref="AZ22:AZ23"/>
    <mergeCell ref="AZ24:AZ25"/>
    <mergeCell ref="AZ26:AZ27"/>
    <mergeCell ref="AZ28:AZ29"/>
    <mergeCell ref="AZ30:AZ31"/>
    <mergeCell ref="AZ32:AZ33"/>
    <mergeCell ref="BA5:BA7"/>
    <mergeCell ref="BA8:BA9"/>
    <mergeCell ref="BA10:BA11"/>
    <mergeCell ref="BA12:BA13"/>
    <mergeCell ref="BA14:BA15"/>
    <mergeCell ref="BA16:BA17"/>
    <mergeCell ref="BA18:BA19"/>
    <mergeCell ref="BA20:BA21"/>
    <mergeCell ref="BA22:BA23"/>
    <mergeCell ref="BA24:BA25"/>
    <mergeCell ref="BA26:BA27"/>
    <mergeCell ref="BA28:BA29"/>
    <mergeCell ref="BA30:BA31"/>
    <mergeCell ref="BA32:BA33"/>
    <mergeCell ref="BB5:BB7"/>
    <mergeCell ref="BB8:BB9"/>
    <mergeCell ref="BB10:BB11"/>
    <mergeCell ref="BB12:BB13"/>
    <mergeCell ref="BB14:BB15"/>
    <mergeCell ref="BB16:BB17"/>
    <mergeCell ref="BB18:BB19"/>
    <mergeCell ref="BB20:BB21"/>
    <mergeCell ref="BB22:BB23"/>
    <mergeCell ref="BB24:BB25"/>
    <mergeCell ref="BB26:BB27"/>
    <mergeCell ref="BB28:BB29"/>
    <mergeCell ref="BB30:BB31"/>
    <mergeCell ref="BB32:BB33"/>
    <mergeCell ref="B3:AA4"/>
    <mergeCell ref="AB3:BB4"/>
  </mergeCells>
  <dataValidations count="3">
    <dataValidation type="list" allowBlank="1" showInputMessage="1" showErrorMessage="1" sqref="P2:T2">
      <formula1>[1]字典!#REF!</formula1>
    </dataValidation>
    <dataValidation type="list" allowBlank="1" showInputMessage="1" showErrorMessage="1" sqref="AG2:AH2" errorStyle="warning">
      <formula1>"1,2,3,4,5,6,7,8,9,10,11,12"</formula1>
    </dataValidation>
    <dataValidation type="list" allowBlank="1" showInputMessage="1" showErrorMessage="1" sqref="AG26:AG29 C16:AG23 C24:AD27 C8:AG13 C28:AF29 C30:AG33 AE26:AF27 AE24:AG25">
      <formula1>"/,起,事,病,T,婚,丧,□,★,休,年休,10,15,20,30,35,×,学,◆,△,会,修"</formula1>
    </dataValidation>
  </dataValidations>
  <printOptions horizontalCentered="1"/>
  <pageMargins left="0.24" right="0.16" top="0.393700787401575" bottom="0.49" header="0.46" footer="0.26"/>
  <pageSetup paperSize="9" scale="90" orientation="landscape"/>
  <headerFooter alignWithMargins="0">
    <oddFooter>&amp;L科室负责人：&amp;C填表人：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丶郑JIA yE</cp:lastModifiedBy>
  <dcterms:created xsi:type="dcterms:W3CDTF">2024-04-01T08:47:00Z</dcterms:created>
  <dcterms:modified xsi:type="dcterms:W3CDTF">2025-09-29T09:50:42Z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00349A3F29F640788B70CEF0413906D8_13</vt:lpwstr>
  </property>
  <property fmtid="{D5CDD505-2E9C-101B-9397-08002B2CF9AE}" pid="3" name="KSOProductBuildVer">
    <vt:lpwstr>2052-12.1.0.22529</vt:lpwstr>
  </property>
</Properties>
</file>